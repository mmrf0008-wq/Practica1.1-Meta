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<sst xmlns="http://schemas.openxmlformats.org/spreadsheetml/2006/main" count="145" uniqueCount="24">
  <si>
    <t xml:space="preserve">A280</t>
  </si>
  <si>
    <t xml:space="preserve">CH130</t>
  </si>
  <si>
    <t xml:space="preserve">D18512</t>
  </si>
  <si>
    <t xml:space="preserve">PR144</t>
  </si>
  <si>
    <t xml:space="preserve">U1060</t>
  </si>
  <si>
    <t xml:space="preserve">Greedy</t>
  </si>
  <si>
    <t xml:space="preserve">Tamaño</t>
  </si>
  <si>
    <t xml:space="preserve">Mínimo encontrado</t>
  </si>
  <si>
    <t xml:space="preserve">Sol</t>
  </si>
  <si>
    <t xml:space="preserve">Time</t>
  </si>
  <si>
    <t xml:space="preserve">Ejecución 1</t>
  </si>
  <si>
    <t xml:space="preserve">Media</t>
  </si>
  <si>
    <t xml:space="preserve">Desv. típica</t>
  </si>
  <si>
    <t xml:space="preserve">Greedy Aleatorio</t>
  </si>
  <si>
    <t xml:space="preserve">Ejecución 2</t>
  </si>
  <si>
    <t xml:space="preserve">Ejecución 3</t>
  </si>
  <si>
    <t xml:space="preserve">Búsqueda Local (PM)</t>
  </si>
  <si>
    <t xml:space="preserve">TABÚ</t>
  </si>
  <si>
    <t xml:space="preserve">AÑADIR TANTAS TABLAS COMO ALGORITMOS TENGAMOS</t>
  </si>
  <si>
    <t xml:space="preserve">MEDIA</t>
  </si>
  <si>
    <t xml:space="preserve">Desv</t>
  </si>
  <si>
    <t xml:space="preserve">C</t>
  </si>
  <si>
    <t xml:space="preserve">TABU</t>
  </si>
  <si>
    <t xml:space="preserve">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</si>
</sst>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\ %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sz val="20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Times New Roman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20"/>
      <color rgb="FF980000"/>
      <name val="Calibri"/>
      <family val="0"/>
      <charset val="1"/>
    </font>
    <font>
      <b val="true"/>
      <sz val="12"/>
      <color rgb="FF000000"/>
      <name val="Times New Roman"/>
      <family val="1"/>
      <charset val="1"/>
    </font>
    <font>
      <b val="true"/>
      <i val="true"/>
      <sz val="12"/>
      <color rgb="FF00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4BACC6"/>
        <bgColor rgb="FF339966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69696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 style="double"/>
      <top style="thick"/>
      <bottom style="medium"/>
      <diagonal/>
    </border>
    <border diagonalUp="false" diagonalDown="false">
      <left style="medium"/>
      <right/>
      <top style="thick"/>
      <bottom style="medium"/>
      <diagonal/>
    </border>
    <border diagonalUp="false" diagonalDown="false">
      <left style="double"/>
      <right style="double"/>
      <top style="thick"/>
      <bottom style="medium"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 style="thick"/>
      <right style="medium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 style="double"/>
      <top style="medium"/>
      <bottom style="double"/>
      <diagonal/>
    </border>
    <border diagonalUp="false" diagonalDown="false">
      <left/>
      <right style="thick"/>
      <top/>
      <bottom style="double"/>
      <diagonal/>
    </border>
    <border diagonalUp="false" diagonalDown="false">
      <left style="thick"/>
      <right/>
      <top/>
      <bottom style="medium"/>
      <diagonal/>
    </border>
    <border diagonalUp="false" diagonalDown="false">
      <left style="double"/>
      <right style="medium"/>
      <top/>
      <bottom style="medium"/>
      <diagonal/>
    </border>
    <border diagonalUp="false" diagonalDown="false">
      <left style="thick"/>
      <right style="medium"/>
      <top/>
      <bottom style="medium"/>
      <diagonal/>
    </border>
    <border diagonalUp="false" diagonalDown="false">
      <left style="thick"/>
      <right/>
      <top/>
      <bottom style="thick"/>
      <diagonal/>
    </border>
    <border diagonalUp="false" diagonalDown="false">
      <left style="double"/>
      <right style="medium"/>
      <top/>
      <bottom style="thick"/>
      <diagonal/>
    </border>
    <border diagonalUp="false" diagonalDown="false">
      <left/>
      <right style="thick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5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5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5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A39" activeCellId="0" sqref="A39"/>
    </sheetView>
  </sheetViews>
  <sheetFormatPr defaultColWidth="14.50390625" defaultRowHeight="15" zeroHeight="false" outlineLevelRow="0" outlineLevelCol="0"/>
  <cols>
    <col collapsed="false" customWidth="true" hidden="false" outlineLevel="0" max="1" min="1" style="0" width="16.83"/>
    <col collapsed="false" customWidth="true" hidden="false" outlineLevel="0" max="2" min="2" style="0" width="10.17"/>
    <col collapsed="false" customWidth="true" hidden="false" outlineLevel="0" max="3" min="3" style="0" width="8.67"/>
    <col collapsed="false" customWidth="true" hidden="false" outlineLevel="0" max="4" min="4" style="0" width="10.17"/>
    <col collapsed="false" customWidth="true" hidden="false" outlineLevel="0" max="5" min="5" style="0" width="8.67"/>
    <col collapsed="false" customWidth="true" hidden="false" outlineLevel="0" max="6" min="6" style="0" width="12.37"/>
    <col collapsed="false" customWidth="true" hidden="false" outlineLevel="0" max="7" min="7" style="0" width="10.78"/>
    <col collapsed="false" customWidth="true" hidden="false" outlineLevel="0" max="8" min="8" style="0" width="13.72"/>
    <col collapsed="false" customWidth="true" hidden="false" outlineLevel="0" max="9" min="9" style="0" width="11.02"/>
    <col collapsed="false" customWidth="true" hidden="false" outlineLevel="0" max="10" min="10" style="0" width="11.88"/>
    <col collapsed="false" customWidth="true" hidden="false" outlineLevel="0" max="11" min="11" style="0" width="8.67"/>
    <col collapsed="false" customWidth="true" hidden="false" outlineLevel="0" max="28" min="12" style="0" width="10.5"/>
  </cols>
  <sheetData>
    <row r="1" customFormat="false" ht="22.05" hidden="false" customHeight="false" outlineLevel="0" collapsed="false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customFormat="false" ht="13.5" hidden="false" customHeight="true" outlineLevel="0" collapsed="false">
      <c r="A2" s="2" t="s">
        <v>5</v>
      </c>
      <c r="B2" s="3" t="s">
        <v>6</v>
      </c>
      <c r="C2" s="4" t="n">
        <v>280</v>
      </c>
      <c r="D2" s="3" t="s">
        <v>6</v>
      </c>
      <c r="E2" s="4" t="n">
        <v>130</v>
      </c>
      <c r="F2" s="3" t="s">
        <v>6</v>
      </c>
      <c r="G2" s="4" t="n">
        <v>18512</v>
      </c>
      <c r="H2" s="3" t="s">
        <v>6</v>
      </c>
      <c r="I2" s="4" t="n">
        <v>144</v>
      </c>
      <c r="J2" s="3" t="s">
        <v>6</v>
      </c>
      <c r="K2" s="4" t="n">
        <v>1060</v>
      </c>
    </row>
    <row r="3" customFormat="false" ht="15" hidden="false" customHeight="true" outlineLevel="0" collapsed="false">
      <c r="A3" s="2"/>
      <c r="B3" s="5" t="s">
        <v>7</v>
      </c>
      <c r="C3" s="4" t="n">
        <v>2579</v>
      </c>
      <c r="D3" s="5" t="s">
        <v>7</v>
      </c>
      <c r="E3" s="4" t="n">
        <v>6110</v>
      </c>
      <c r="F3" s="5" t="s">
        <v>7</v>
      </c>
      <c r="G3" s="4" t="n">
        <v>645238</v>
      </c>
      <c r="H3" s="5" t="s">
        <v>7</v>
      </c>
      <c r="I3" s="4" t="n">
        <v>58537</v>
      </c>
      <c r="J3" s="5" t="s">
        <v>7</v>
      </c>
      <c r="K3" s="4" t="n">
        <v>224094</v>
      </c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6.5" hidden="false" customHeight="true" outlineLevel="0" collapsed="false">
      <c r="A5" s="2"/>
      <c r="B5" s="6"/>
      <c r="C5" s="6"/>
      <c r="D5" s="6"/>
      <c r="E5" s="6"/>
      <c r="F5" s="6"/>
      <c r="G5" s="6"/>
      <c r="H5" s="6"/>
      <c r="I5" s="6"/>
      <c r="J5" s="6"/>
      <c r="K5" s="6"/>
    </row>
    <row r="6" customFormat="false" ht="15" hidden="false" customHeight="false" outlineLevel="0" collapsed="false">
      <c r="A6" s="2"/>
      <c r="B6" s="7" t="s">
        <v>8</v>
      </c>
      <c r="C6" s="6" t="s">
        <v>9</v>
      </c>
      <c r="D6" s="7" t="s">
        <v>8</v>
      </c>
      <c r="E6" s="6" t="s">
        <v>9</v>
      </c>
      <c r="F6" s="7" t="s">
        <v>8</v>
      </c>
      <c r="G6" s="6" t="s">
        <v>9</v>
      </c>
      <c r="H6" s="7" t="s">
        <v>8</v>
      </c>
      <c r="I6" s="6" t="s">
        <v>9</v>
      </c>
      <c r="J6" s="7" t="s">
        <v>8</v>
      </c>
      <c r="K6" s="6" t="s">
        <v>9</v>
      </c>
    </row>
    <row r="7" customFormat="false" ht="15" hidden="false" customHeight="false" outlineLevel="0" collapsed="false">
      <c r="A7" s="6" t="s">
        <v>10</v>
      </c>
      <c r="B7" s="8" t="n">
        <v>244989</v>
      </c>
      <c r="C7" s="8" t="n">
        <v>19.1461</v>
      </c>
      <c r="D7" s="8" t="n">
        <v>7216</v>
      </c>
      <c r="E7" s="8" t="n">
        <v>3.9</v>
      </c>
      <c r="F7" s="8" t="n">
        <v>789589</v>
      </c>
      <c r="G7" s="8" t="n">
        <v>2295</v>
      </c>
      <c r="H7" s="8" t="n">
        <v>64161</v>
      </c>
      <c r="I7" s="8" t="n">
        <v>0.17</v>
      </c>
      <c r="J7" s="8" t="n">
        <v>287467</v>
      </c>
      <c r="K7" s="8" t="n">
        <v>3.99</v>
      </c>
    </row>
    <row r="8" customFormat="false" ht="15" hidden="false" customHeight="false" outlineLevel="0" collapsed="false">
      <c r="A8" s="6" t="s">
        <v>11</v>
      </c>
      <c r="B8" s="9" t="n">
        <f aca="false">AVERAGE((B7-C$3)/C$3)</f>
        <v>93.9937960449787</v>
      </c>
      <c r="C8" s="10" t="n">
        <f aca="false">AVERAGE(C7:C7)</f>
        <v>19.1461</v>
      </c>
      <c r="D8" s="9" t="n">
        <f aca="false">AVERAGE((D7-E$3)/E$3)</f>
        <v>0.1810147299509</v>
      </c>
      <c r="E8" s="10" t="n">
        <f aca="false">AVERAGE(E7:E7)</f>
        <v>3.9</v>
      </c>
      <c r="F8" s="9" t="n">
        <f aca="false">AVERAGE((F7-G$3)/G$3)</f>
        <v>0.223717449995196</v>
      </c>
      <c r="G8" s="10" t="n">
        <f aca="false">AVERAGE(G7:G7)</f>
        <v>2295</v>
      </c>
      <c r="H8" s="9" t="n">
        <f aca="false">AVERAGE((H7-I$3)/I$3)</f>
        <v>0.0960759861284316</v>
      </c>
      <c r="I8" s="10" t="n">
        <f aca="false">AVERAGE(I7:I7)</f>
        <v>0.17</v>
      </c>
      <c r="J8" s="9" t="n">
        <f aca="false">AVERAGE((J7-K$3)/K$3)</f>
        <v>0.282796505038064</v>
      </c>
      <c r="K8" s="10" t="n">
        <f aca="false">AVERAGE(K7:K7)</f>
        <v>3.99</v>
      </c>
    </row>
    <row r="9" customFormat="false" ht="15" hidden="false" customHeight="false" outlineLevel="0" collapsed="false">
      <c r="A9" s="6" t="s">
        <v>12</v>
      </c>
      <c r="B9" s="10" t="e">
        <f aca="false">STDEV((B7-C$3)/C$3)</f>
        <v>#DIV/0!</v>
      </c>
      <c r="C9" s="10" t="e">
        <f aca="false">STDEV(C7:C7)</f>
        <v>#DIV/0!</v>
      </c>
      <c r="D9" s="10" t="e">
        <f aca="false">STDEV((D7-E$3)/E$3)</f>
        <v>#DIV/0!</v>
      </c>
      <c r="E9" s="10" t="e">
        <f aca="false">STDEV(E7:E7)</f>
        <v>#DIV/0!</v>
      </c>
      <c r="F9" s="10" t="e">
        <f aca="false">STDEV((F7-G$3)/G$3)</f>
        <v>#DIV/0!</v>
      </c>
      <c r="G9" s="10" t="e">
        <f aca="false">STDEV(G7:G7)</f>
        <v>#DIV/0!</v>
      </c>
      <c r="H9" s="10" t="e">
        <f aca="false">STDEV((H7-I$3)/I$3)</f>
        <v>#DIV/0!</v>
      </c>
      <c r="I9" s="10" t="e">
        <f aca="false">STDEV(I7:I7)</f>
        <v>#DIV/0!</v>
      </c>
      <c r="J9" s="10" t="e">
        <f aca="false">STDEV((J7-K$3)/K$3)</f>
        <v>#DIV/0!</v>
      </c>
      <c r="K9" s="10" t="e">
        <f aca="false">STDEV(K7:K7)</f>
        <v>#DIV/0!</v>
      </c>
    </row>
    <row r="11" customFormat="false" ht="22.05" hidden="false" customHeight="false" outlineLevel="0" collapsed="false">
      <c r="B11" s="1" t="s">
        <v>0</v>
      </c>
      <c r="C11" s="1"/>
      <c r="D11" s="1" t="s">
        <v>1</v>
      </c>
      <c r="E11" s="1"/>
      <c r="F11" s="1" t="s">
        <v>2</v>
      </c>
      <c r="G11" s="1"/>
      <c r="H11" s="1" t="s">
        <v>3</v>
      </c>
      <c r="I11" s="1"/>
      <c r="J11" s="1" t="s">
        <v>4</v>
      </c>
      <c r="K11" s="1"/>
    </row>
    <row r="12" customFormat="false" ht="13.5" hidden="false" customHeight="true" outlineLevel="0" collapsed="false">
      <c r="A12" s="2" t="s">
        <v>13</v>
      </c>
      <c r="B12" s="3" t="s">
        <v>6</v>
      </c>
      <c r="C12" s="4" t="n">
        <v>280</v>
      </c>
      <c r="D12" s="3" t="s">
        <v>6</v>
      </c>
      <c r="E12" s="4" t="n">
        <v>130</v>
      </c>
      <c r="F12" s="3" t="s">
        <v>6</v>
      </c>
      <c r="G12" s="4" t="n">
        <v>18512</v>
      </c>
      <c r="H12" s="3" t="s">
        <v>6</v>
      </c>
      <c r="I12" s="4" t="n">
        <v>144</v>
      </c>
      <c r="J12" s="3" t="s">
        <v>6</v>
      </c>
      <c r="K12" s="4" t="n">
        <v>1060</v>
      </c>
    </row>
    <row r="13" customFormat="false" ht="15" hidden="false" customHeight="true" outlineLevel="0" collapsed="false">
      <c r="A13" s="2"/>
      <c r="B13" s="5" t="s">
        <v>7</v>
      </c>
      <c r="C13" s="4" t="n">
        <v>2579</v>
      </c>
      <c r="D13" s="5" t="s">
        <v>7</v>
      </c>
      <c r="E13" s="4" t="n">
        <v>6110</v>
      </c>
      <c r="F13" s="5" t="s">
        <v>7</v>
      </c>
      <c r="G13" s="4" t="n">
        <v>645238</v>
      </c>
      <c r="H13" s="5" t="s">
        <v>7</v>
      </c>
      <c r="I13" s="4" t="n">
        <v>58537</v>
      </c>
      <c r="J13" s="5" t="s">
        <v>7</v>
      </c>
      <c r="K13" s="4" t="n">
        <v>224094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6.5" hidden="false" customHeight="true" outlineLevel="0" collapsed="false">
      <c r="A15" s="2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5" hidden="false" customHeight="false" outlineLevel="0" collapsed="false">
      <c r="A16" s="2"/>
      <c r="B16" s="7" t="s">
        <v>8</v>
      </c>
      <c r="C16" s="6" t="s">
        <v>9</v>
      </c>
      <c r="D16" s="7" t="s">
        <v>8</v>
      </c>
      <c r="E16" s="6" t="s">
        <v>9</v>
      </c>
      <c r="F16" s="7" t="s">
        <v>8</v>
      </c>
      <c r="G16" s="6" t="s">
        <v>9</v>
      </c>
      <c r="H16" s="7" t="s">
        <v>8</v>
      </c>
      <c r="I16" s="6" t="s">
        <v>9</v>
      </c>
      <c r="J16" s="7" t="s">
        <v>8</v>
      </c>
      <c r="K16" s="6" t="s">
        <v>9</v>
      </c>
    </row>
    <row r="17" customFormat="false" ht="15" hidden="false" customHeight="false" outlineLevel="0" collapsed="false">
      <c r="A17" s="6" t="s">
        <v>10</v>
      </c>
      <c r="B17" s="8" t="n">
        <v>9471</v>
      </c>
      <c r="C17" s="8" t="n">
        <v>10.9</v>
      </c>
      <c r="D17" s="8" t="n">
        <v>20146</v>
      </c>
      <c r="E17" s="8" t="n">
        <v>0.93</v>
      </c>
      <c r="F17" s="8" t="n">
        <v>2337484</v>
      </c>
      <c r="G17" s="8" t="n">
        <v>1677.34</v>
      </c>
      <c r="H17" s="8" t="n">
        <v>236518</v>
      </c>
      <c r="I17" s="8" t="n">
        <v>0.66</v>
      </c>
      <c r="J17" s="8" t="n">
        <v>878212</v>
      </c>
      <c r="K17" s="8" t="n">
        <v>5.7</v>
      </c>
    </row>
    <row r="18" customFormat="false" ht="15" hidden="false" customHeight="false" outlineLevel="0" collapsed="false">
      <c r="A18" s="6" t="s">
        <v>14</v>
      </c>
      <c r="B18" s="8" t="n">
        <v>9256</v>
      </c>
      <c r="C18" s="8" t="n">
        <v>3.15</v>
      </c>
      <c r="D18" s="8" t="n">
        <v>19682</v>
      </c>
      <c r="E18" s="8" t="n">
        <v>0.97</v>
      </c>
      <c r="F18" s="8" t="n">
        <v>2346069</v>
      </c>
      <c r="G18" s="8" t="n">
        <v>1342.72</v>
      </c>
      <c r="H18" s="8" t="n">
        <v>2255825</v>
      </c>
      <c r="I18" s="8" t="n">
        <v>0.63</v>
      </c>
      <c r="J18" s="8" t="n">
        <v>837447</v>
      </c>
      <c r="K18" s="8" t="n">
        <v>4.25</v>
      </c>
    </row>
    <row r="19" customFormat="false" ht="15" hidden="false" customHeight="false" outlineLevel="0" collapsed="false">
      <c r="A19" s="6" t="s">
        <v>15</v>
      </c>
      <c r="B19" s="8" t="n">
        <v>9606</v>
      </c>
      <c r="C19" s="8" t="n">
        <v>2.35</v>
      </c>
      <c r="D19" s="8" t="n">
        <v>20210</v>
      </c>
      <c r="E19" s="8" t="n">
        <v>1.17</v>
      </c>
      <c r="F19" s="8" t="n">
        <v>2342574</v>
      </c>
      <c r="G19" s="8" t="n">
        <v>1471</v>
      </c>
      <c r="H19" s="8" t="n">
        <v>220983</v>
      </c>
      <c r="I19" s="8" t="n">
        <v>0.32</v>
      </c>
      <c r="J19" s="8" t="n">
        <v>877359</v>
      </c>
      <c r="K19" s="8" t="n">
        <v>4.01</v>
      </c>
    </row>
    <row r="20" customFormat="false" ht="15" hidden="false" customHeight="false" outlineLevel="0" collapsed="false">
      <c r="A20" s="6" t="s">
        <v>11</v>
      </c>
      <c r="B20" s="9" t="n">
        <f aca="false">AVERAGE((B17-C$3)/C$3,(B18-C$3)/C$3,(B19-C$3)/C$3)</f>
        <v>2.66201370040067</v>
      </c>
      <c r="C20" s="10" t="n">
        <f aca="false">AVERAGE(C17:C19)</f>
        <v>5.46666666666667</v>
      </c>
      <c r="D20" s="9" t="n">
        <f aca="false">AVERAGE((D17-E$3)/E$3,(D18-E$3)/E$3,(D19-E$3)/E$3)</f>
        <v>2.27539552645936</v>
      </c>
      <c r="E20" s="10" t="n">
        <f aca="false">AVERAGE(E17:E19)</f>
        <v>1.02333333333333</v>
      </c>
      <c r="F20" s="9" t="n">
        <f aca="false">AVERAGE((F17-G$3)/G$3,(F18-G$3)/G$3,(F19-G$3)/G$3)</f>
        <v>2.62973404128916</v>
      </c>
      <c r="G20" s="10" t="n">
        <f aca="false">AVERAGE(G17:G19)</f>
        <v>1497.02</v>
      </c>
      <c r="H20" s="9" t="n">
        <f aca="false">AVERAGE((H17-I$3)/I$3,(H18-I$3)/I$3,(H19-I$3)/I$3)</f>
        <v>14.450774723679</v>
      </c>
      <c r="I20" s="10" t="n">
        <f aca="false">AVERAGE(I17:I19)</f>
        <v>0.536666666666667</v>
      </c>
      <c r="J20" s="9" t="n">
        <f aca="false">AVERAGE((J17-K$3)/K$3,(J18-K$3)/K$3,(J19-K$3)/K$3)</f>
        <v>2.85703915916238</v>
      </c>
      <c r="K20" s="10" t="n">
        <f aca="false">AVERAGE(K17:K19)</f>
        <v>4.65333333333333</v>
      </c>
    </row>
    <row r="21" customFormat="false" ht="15" hidden="false" customHeight="false" outlineLevel="0" collapsed="false">
      <c r="A21" s="6" t="s">
        <v>12</v>
      </c>
      <c r="B21" s="10" t="n">
        <f aca="false">STDEV((B17-C$3)/C$3,(B18-C$3)/C$3,(B19-C$3)/C$3)</f>
        <v>0.0684440606427572</v>
      </c>
      <c r="C21" s="10" t="n">
        <f aca="false">STDEV(C17:C19)</f>
        <v>4.72237581449564</v>
      </c>
      <c r="D21" s="10" t="n">
        <f aca="false">STDEV((D17-E$3)/E$3,(D18-E$3)/E$3,(D19-E$3)/E$3)</f>
        <v>0.0471600834801619</v>
      </c>
      <c r="E21" s="10" t="n">
        <f aca="false">STDEV(E17:E19)</f>
        <v>0.128582010146573</v>
      </c>
      <c r="F21" s="10" t="n">
        <f aca="false">STDEV((F17-G$3)/G$3,(F18-G$3)/G$3,(F19-G$3)/G$3)</f>
        <v>0.00669074643722713</v>
      </c>
      <c r="G21" s="10" t="n">
        <f aca="false">STDEV(G17:G19)</f>
        <v>168.8206634272</v>
      </c>
      <c r="H21" s="10" t="n">
        <f aca="false">STDEV((H17-I$3)/I$3,(H18-I$3)/I$3,(H19-I$3)/I$3)</f>
        <v>19.9934705302418</v>
      </c>
      <c r="I21" s="10" t="n">
        <f aca="false">STDEV(I17:I19)</f>
        <v>0.188237438713273</v>
      </c>
      <c r="J21" s="10" t="n">
        <f aca="false">STDEV((J17-K$3)/K$3,(J18-K$3)/K$3,(J19-K$3)/K$3)</f>
        <v>0.103944544509842</v>
      </c>
      <c r="K21" s="10" t="n">
        <f aca="false">STDEV(K17:K19)</f>
        <v>0.914348584147935</v>
      </c>
    </row>
    <row r="23" customFormat="false" ht="15.65" hidden="false" customHeight="true" outlineLevel="0" collapsed="false"/>
    <row r="24" customFormat="false" ht="15" hidden="false" customHeight="true" outlineLevel="0" collapsed="false">
      <c r="B24" s="1" t="s">
        <v>0</v>
      </c>
      <c r="C24" s="1"/>
      <c r="D24" s="1" t="s">
        <v>1</v>
      </c>
      <c r="E24" s="1"/>
      <c r="F24" s="1" t="s">
        <v>2</v>
      </c>
      <c r="G24" s="1"/>
      <c r="H24" s="1" t="s">
        <v>3</v>
      </c>
      <c r="I24" s="1"/>
      <c r="J24" s="1" t="s">
        <v>4</v>
      </c>
      <c r="K24" s="1"/>
    </row>
    <row r="25" customFormat="false" ht="15" hidden="false" customHeight="true" outlineLevel="0" collapsed="false">
      <c r="A25" s="2" t="s">
        <v>16</v>
      </c>
      <c r="B25" s="3" t="s">
        <v>6</v>
      </c>
      <c r="C25" s="4" t="n">
        <v>280</v>
      </c>
      <c r="D25" s="3" t="s">
        <v>6</v>
      </c>
      <c r="E25" s="4" t="n">
        <v>130</v>
      </c>
      <c r="F25" s="3" t="s">
        <v>6</v>
      </c>
      <c r="G25" s="4" t="n">
        <v>18512</v>
      </c>
      <c r="H25" s="3" t="s">
        <v>6</v>
      </c>
      <c r="I25" s="4" t="n">
        <v>144</v>
      </c>
      <c r="J25" s="3" t="s">
        <v>6</v>
      </c>
      <c r="K25" s="4" t="n">
        <v>1060</v>
      </c>
    </row>
    <row r="26" customFormat="false" ht="15" hidden="false" customHeight="true" outlineLevel="0" collapsed="false">
      <c r="A26" s="2"/>
      <c r="B26" s="5" t="s">
        <v>7</v>
      </c>
      <c r="C26" s="4" t="n">
        <v>2579</v>
      </c>
      <c r="D26" s="5" t="s">
        <v>7</v>
      </c>
      <c r="E26" s="4" t="n">
        <v>6110</v>
      </c>
      <c r="F26" s="5" t="s">
        <v>7</v>
      </c>
      <c r="G26" s="4" t="n">
        <v>645238</v>
      </c>
      <c r="H26" s="5" t="s">
        <v>7</v>
      </c>
      <c r="I26" s="4" t="n">
        <v>58537</v>
      </c>
      <c r="J26" s="5" t="s">
        <v>7</v>
      </c>
      <c r="K26" s="4" t="n">
        <v>224094</v>
      </c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true" outlineLevel="0" collapsed="false">
      <c r="A28" s="2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15" hidden="false" customHeight="true" outlineLevel="0" collapsed="false">
      <c r="A29" s="2"/>
      <c r="B29" s="7" t="s">
        <v>8</v>
      </c>
      <c r="C29" s="6" t="s">
        <v>9</v>
      </c>
      <c r="D29" s="7" t="s">
        <v>8</v>
      </c>
      <c r="E29" s="6" t="s">
        <v>9</v>
      </c>
      <c r="F29" s="7" t="s">
        <v>8</v>
      </c>
      <c r="G29" s="6" t="s">
        <v>9</v>
      </c>
      <c r="H29" s="7" t="s">
        <v>8</v>
      </c>
      <c r="I29" s="6" t="s">
        <v>9</v>
      </c>
      <c r="J29" s="7" t="s">
        <v>8</v>
      </c>
      <c r="K29" s="6" t="s">
        <v>9</v>
      </c>
    </row>
    <row r="30" customFormat="false" ht="15" hidden="false" customHeight="true" outlineLevel="0" collapsed="false">
      <c r="A30" s="6" t="s">
        <v>10</v>
      </c>
      <c r="B30" s="8" t="n">
        <v>9470</v>
      </c>
      <c r="C30" s="8" t="n">
        <v>39.14</v>
      </c>
      <c r="D30" s="8" t="n">
        <v>20071</v>
      </c>
      <c r="E30" s="8" t="n">
        <v>19.9</v>
      </c>
      <c r="F30" s="8" t="n">
        <v>2337482</v>
      </c>
      <c r="G30" s="8" t="n">
        <v>0.14</v>
      </c>
      <c r="H30" s="8" t="n">
        <v>234999</v>
      </c>
      <c r="I30" s="8" t="n">
        <v>4.05</v>
      </c>
      <c r="J30" s="8" t="n">
        <v>878095</v>
      </c>
      <c r="K30" s="8" t="n">
        <v>0.13</v>
      </c>
    </row>
    <row r="31" customFormat="false" ht="15" hidden="false" customHeight="true" outlineLevel="0" collapsed="false">
      <c r="A31" s="6" t="s">
        <v>14</v>
      </c>
      <c r="B31" s="8" t="n">
        <v>9245</v>
      </c>
      <c r="C31" s="8" t="n">
        <v>0.77</v>
      </c>
      <c r="D31" s="8" t="n">
        <v>19658</v>
      </c>
      <c r="E31" s="8" t="n">
        <v>0.8</v>
      </c>
      <c r="F31" s="8" t="n">
        <v>2346023</v>
      </c>
      <c r="G31" s="8" t="n">
        <v>0.13</v>
      </c>
      <c r="H31" s="8" t="n">
        <v>225782</v>
      </c>
      <c r="I31" s="8" t="n">
        <v>0.09</v>
      </c>
      <c r="J31" s="8" t="n">
        <v>837217</v>
      </c>
      <c r="K31" s="8" t="n">
        <v>0.06</v>
      </c>
    </row>
    <row r="32" customFormat="false" ht="15" hidden="false" customHeight="true" outlineLevel="0" collapsed="false">
      <c r="A32" s="6" t="s">
        <v>15</v>
      </c>
      <c r="B32" s="8" t="n">
        <v>9576</v>
      </c>
      <c r="C32" s="8" t="n">
        <v>0.21</v>
      </c>
      <c r="D32" s="8" t="n">
        <v>20167</v>
      </c>
      <c r="E32" s="8" t="n">
        <v>0.1</v>
      </c>
      <c r="F32" s="8" t="n">
        <v>2342501</v>
      </c>
      <c r="G32" s="8" t="n">
        <v>0.22</v>
      </c>
      <c r="H32" s="8" t="n">
        <v>220966</v>
      </c>
      <c r="I32" s="8" t="n">
        <v>0.18</v>
      </c>
      <c r="J32" s="8" t="n">
        <v>877309</v>
      </c>
      <c r="K32" s="8" t="n">
        <v>0.07</v>
      </c>
    </row>
    <row r="33" customFormat="false" ht="15" hidden="false" customHeight="true" outlineLevel="0" collapsed="false">
      <c r="A33" s="6" t="s">
        <v>11</v>
      </c>
      <c r="B33" s="9" t="n">
        <f aca="false">AVERAGE((B30-C$3)/C$3,(B31-C$3)/C$3,(B32-C$3)/C$3)</f>
        <v>2.65658523975701</v>
      </c>
      <c r="C33" s="10" t="n">
        <f aca="false">AVERAGE(C30:C32)</f>
        <v>13.3733333333333</v>
      </c>
      <c r="D33" s="9" t="n">
        <f aca="false">AVERAGE((D30-E$3)/E$3,(D31-E$3)/E$3,(D32-E$3)/E$3)</f>
        <v>2.26764866339334</v>
      </c>
      <c r="E33" s="10" t="n">
        <f aca="false">AVERAGE(E30:E32)</f>
        <v>6.93333333333333</v>
      </c>
      <c r="F33" s="9" t="n">
        <f aca="false">AVERAGE((F30-G$3)/G$3,(F31-G$3)/G$3,(F32-G$3)/G$3)</f>
        <v>2.62967153205484</v>
      </c>
      <c r="G33" s="10" t="n">
        <f aca="false">AVERAGE(G30:G32)</f>
        <v>0.163333333333333</v>
      </c>
      <c r="H33" s="9" t="n">
        <f aca="false">AVERAGE((H30-I$3)/I$3,(H31-I$3)/I$3,(H32-I$3)/I$3)</f>
        <v>2.88214291815433</v>
      </c>
      <c r="I33" s="10" t="n">
        <f aca="false">AVERAGE(I30:I32)</f>
        <v>1.44</v>
      </c>
      <c r="J33" s="9" t="n">
        <f aca="false">AVERAGE((J30-K$3)/K$3,(J31-K$3)/K$3,(J32-K$3)/K$3)</f>
        <v>2.85644863316287</v>
      </c>
      <c r="K33" s="10" t="n">
        <f aca="false">AVERAGE(K30:K32)</f>
        <v>0.0866666666666667</v>
      </c>
    </row>
    <row r="34" customFormat="false" ht="15" hidden="false" customHeight="true" outlineLevel="0" collapsed="false">
      <c r="A34" s="6" t="s">
        <v>12</v>
      </c>
      <c r="B34" s="10" t="n">
        <f aca="false">STDEV((B30-C$3)/C$3,(B31-C$3)/C$3,(B32-C$3)/C$3)</f>
        <v>0.0655399810611395</v>
      </c>
      <c r="C34" s="10" t="n">
        <f aca="false">STDEV(C30:C32)</f>
        <v>22.3163445333982</v>
      </c>
      <c r="D34" s="10" t="n">
        <f aca="false">STDEV((D30-E$3)/E$3,(D31-E$3)/E$3,(D32-E$3)/E$3)</f>
        <v>0.0442638446224718</v>
      </c>
      <c r="E34" s="10" t="n">
        <f aca="false">STDEV(E30:E32)</f>
        <v>11.2349158133621</v>
      </c>
      <c r="F34" s="10" t="n">
        <f aca="false">STDEV((F30-G$3)/G$3,(F31-G$3)/G$3,(F32-G$3)/G$3)</f>
        <v>0.00665228879606668</v>
      </c>
      <c r="G34" s="10" t="n">
        <f aca="false">STDEV(G30:G32)</f>
        <v>0.0493288286231625</v>
      </c>
      <c r="H34" s="10" t="n">
        <f aca="false">STDEV((H30-I$3)/I$3,(H31-I$3)/I$3,(H32-I$3)/I$3)</f>
        <v>0.121813413237333</v>
      </c>
      <c r="I34" s="10" t="n">
        <f aca="false">STDEV(I30:I32)</f>
        <v>2.26077420367449</v>
      </c>
      <c r="J34" s="10" t="n">
        <f aca="false">STDEV((J30-K$3)/K$3,(J31-K$3)/K$3,(J32-K$3)/K$3)</f>
        <v>0.104319300268282</v>
      </c>
      <c r="K34" s="10" t="n">
        <f aca="false">STDEV(K30:K32)</f>
        <v>0.0378593889720018</v>
      </c>
    </row>
    <row r="35" customFormat="false" ht="15" hidden="false" customHeight="true" outlineLevel="0" collapsed="false">
      <c r="I35" s="11"/>
    </row>
    <row r="36" customFormat="false" ht="15" hidden="false" customHeight="true" outlineLevel="0" collapsed="false">
      <c r="I36" s="11"/>
    </row>
    <row r="38" customFormat="false" ht="15" hidden="false" customHeight="true" outlineLevel="0" collapsed="false">
      <c r="B38" s="1" t="s">
        <v>0</v>
      </c>
      <c r="C38" s="1"/>
      <c r="D38" s="1" t="s">
        <v>1</v>
      </c>
      <c r="E38" s="1"/>
      <c r="F38" s="1" t="s">
        <v>2</v>
      </c>
      <c r="G38" s="1"/>
      <c r="H38" s="1" t="s">
        <v>3</v>
      </c>
      <c r="I38" s="1"/>
      <c r="J38" s="1" t="s">
        <v>4</v>
      </c>
      <c r="K38" s="1"/>
    </row>
    <row r="39" customFormat="false" ht="15" hidden="false" customHeight="true" outlineLevel="0" collapsed="false">
      <c r="A39" s="2" t="s">
        <v>17</v>
      </c>
      <c r="B39" s="3" t="s">
        <v>6</v>
      </c>
      <c r="C39" s="4" t="n">
        <v>280</v>
      </c>
      <c r="D39" s="3" t="s">
        <v>6</v>
      </c>
      <c r="E39" s="4" t="n">
        <v>130</v>
      </c>
      <c r="F39" s="3" t="s">
        <v>6</v>
      </c>
      <c r="G39" s="4" t="n">
        <v>18512</v>
      </c>
      <c r="H39" s="3" t="s">
        <v>6</v>
      </c>
      <c r="I39" s="4" t="n">
        <v>144</v>
      </c>
      <c r="J39" s="3" t="s">
        <v>6</v>
      </c>
      <c r="K39" s="4" t="n">
        <v>1060</v>
      </c>
    </row>
    <row r="40" customFormat="false" ht="15" hidden="false" customHeight="true" outlineLevel="0" collapsed="false">
      <c r="A40" s="2"/>
      <c r="B40" s="5" t="s">
        <v>7</v>
      </c>
      <c r="C40" s="4" t="n">
        <v>2579</v>
      </c>
      <c r="D40" s="5" t="s">
        <v>7</v>
      </c>
      <c r="E40" s="4" t="n">
        <v>6110</v>
      </c>
      <c r="F40" s="5" t="s">
        <v>7</v>
      </c>
      <c r="G40" s="4" t="n">
        <v>645238</v>
      </c>
      <c r="H40" s="5" t="s">
        <v>7</v>
      </c>
      <c r="I40" s="4" t="n">
        <v>58537</v>
      </c>
      <c r="J40" s="5" t="s">
        <v>7</v>
      </c>
      <c r="K40" s="4" t="n">
        <v>224094</v>
      </c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6.4" hidden="false" customHeight="true" outlineLevel="0" collapsed="false">
      <c r="A42" s="2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customFormat="false" ht="15" hidden="false" customHeight="true" outlineLevel="0" collapsed="false">
      <c r="A43" s="2"/>
      <c r="B43" s="7" t="s">
        <v>8</v>
      </c>
      <c r="C43" s="6" t="s">
        <v>9</v>
      </c>
      <c r="D43" s="7" t="s">
        <v>8</v>
      </c>
      <c r="E43" s="6" t="s">
        <v>9</v>
      </c>
      <c r="F43" s="7" t="s">
        <v>8</v>
      </c>
      <c r="G43" s="6" t="s">
        <v>9</v>
      </c>
      <c r="H43" s="7" t="s">
        <v>8</v>
      </c>
      <c r="I43" s="6" t="s">
        <v>9</v>
      </c>
      <c r="J43" s="7" t="s">
        <v>8</v>
      </c>
      <c r="K43" s="6" t="s">
        <v>9</v>
      </c>
    </row>
    <row r="44" customFormat="false" ht="15" hidden="false" customHeight="true" outlineLevel="0" collapsed="false">
      <c r="A44" s="6" t="s">
        <v>10</v>
      </c>
      <c r="B44" s="8" t="n">
        <v>21573</v>
      </c>
      <c r="C44" s="8" t="n">
        <v>149</v>
      </c>
      <c r="D44" s="8" t="n">
        <v>54597</v>
      </c>
      <c r="E44" s="8" t="n">
        <v>50</v>
      </c>
      <c r="F44" s="8" t="n">
        <v>1833046</v>
      </c>
      <c r="G44" s="8" t="n">
        <v>6027</v>
      </c>
      <c r="H44" s="8" t="n">
        <v>752038</v>
      </c>
      <c r="I44" s="8" t="n">
        <v>45</v>
      </c>
      <c r="J44" s="8" t="n">
        <v>658732</v>
      </c>
      <c r="K44" s="8" t="n">
        <v>410</v>
      </c>
    </row>
    <row r="45" customFormat="false" ht="15" hidden="false" customHeight="true" outlineLevel="0" collapsed="false">
      <c r="A45" s="6" t="s">
        <v>14</v>
      </c>
      <c r="B45" s="8" t="n">
        <v>25054</v>
      </c>
      <c r="C45" s="8" t="n">
        <v>94</v>
      </c>
      <c r="D45" s="8" t="n">
        <v>56105</v>
      </c>
      <c r="E45" s="8" t="n">
        <v>49</v>
      </c>
      <c r="F45" s="8" t="n">
        <v>1832409</v>
      </c>
      <c r="G45" s="8" t="n">
        <v>6489</v>
      </c>
      <c r="H45" s="8" t="n">
        <v>1074878</v>
      </c>
      <c r="I45" s="8" t="n">
        <v>37</v>
      </c>
      <c r="J45" s="8" t="n">
        <v>450335</v>
      </c>
      <c r="K45" s="8" t="n">
        <v>429</v>
      </c>
    </row>
    <row r="46" customFormat="false" ht="15" hidden="false" customHeight="true" outlineLevel="0" collapsed="false">
      <c r="A46" s="6" t="s">
        <v>15</v>
      </c>
      <c r="B46" s="8" t="n">
        <v>24498</v>
      </c>
      <c r="C46" s="8" t="n">
        <v>105</v>
      </c>
      <c r="D46" s="8" t="n">
        <v>54355</v>
      </c>
      <c r="E46" s="8" t="n">
        <v>47</v>
      </c>
      <c r="F46" s="8" t="n">
        <v>1811852</v>
      </c>
      <c r="G46" s="8" t="n">
        <v>7114</v>
      </c>
      <c r="H46" s="8" t="n">
        <v>1043400</v>
      </c>
      <c r="I46" s="8" t="n">
        <v>27</v>
      </c>
      <c r="J46" s="8" t="n">
        <v>685527</v>
      </c>
      <c r="K46" s="8" t="n">
        <v>409</v>
      </c>
    </row>
    <row r="47" customFormat="false" ht="15" hidden="false" customHeight="true" outlineLevel="0" collapsed="false">
      <c r="A47" s="6" t="s">
        <v>11</v>
      </c>
      <c r="B47" s="9" t="n">
        <f aca="false">AVERAGE((B44-C$3)/C$3,(B45-C$3)/C$3,(B46-C$3)/C$3)</f>
        <v>8.19283960191289</v>
      </c>
      <c r="C47" s="10" t="n">
        <f aca="false">AVERAGE(C44:C46)</f>
        <v>116</v>
      </c>
      <c r="D47" s="9" t="n">
        <f aca="false">AVERAGE((D44-E$3)/E$3,(D45-E$3)/E$3,(D46-E$3)/E$3)</f>
        <v>8.00474631751228</v>
      </c>
      <c r="E47" s="10" t="n">
        <f aca="false">AVERAGE(E44:E46)</f>
        <v>48.6666666666667</v>
      </c>
      <c r="F47" s="9" t="n">
        <f aca="false">AVERAGE((F44-G$3)/G$3,(F45-G$3)/G$3,(F46-G$3)/G$3)</f>
        <v>1.82960550990487</v>
      </c>
      <c r="G47" s="10" t="n">
        <f aca="false">AVERAGE(G44:G46)</f>
        <v>6543.33333333333</v>
      </c>
      <c r="H47" s="9" t="n">
        <f aca="false">AVERAGE((H44-I$3)/I$3,(H45-I$3)/I$3,(H46-I$3)/I$3)</f>
        <v>15.3447392247638</v>
      </c>
      <c r="I47" s="10" t="n">
        <f aca="false">AVERAGE(I44:I46)</f>
        <v>36.3333333333333</v>
      </c>
      <c r="J47" s="9" t="n">
        <f aca="false">AVERAGE((J44-K$3)/K$3,(J45-K$3)/K$3,(J46-K$3)/K$3)</f>
        <v>1.66940658830669</v>
      </c>
      <c r="K47" s="10" t="n">
        <f aca="false">AVERAGE(K44:K46)</f>
        <v>416</v>
      </c>
    </row>
    <row r="48" customFormat="false" ht="15" hidden="false" customHeight="true" outlineLevel="0" collapsed="false">
      <c r="A48" s="6" t="s">
        <v>12</v>
      </c>
      <c r="B48" s="10" t="n">
        <f aca="false">STDEV((B44-C$3)/C$3,(B45-C$3)/C$3,(B46-C$3)/C$3)</f>
        <v>0.725099718655009</v>
      </c>
      <c r="C48" s="10" t="n">
        <f aca="false">STDEV(C44:C46)</f>
        <v>29.1032644217105</v>
      </c>
      <c r="D48" s="10" t="n">
        <f aca="false">STDEV((D44-E$3)/E$3,(D45-E$3)/E$3,(D46-E$3)/E$3)</f>
        <v>0.155197256939633</v>
      </c>
      <c r="E48" s="10" t="n">
        <f aca="false">STDEV(E44:E46)</f>
        <v>1.52752523165195</v>
      </c>
      <c r="F48" s="10" t="n">
        <f aca="false">STDEV((F44-G$3)/G$3,(F45-G$3)/G$3,(F46-G$3)/G$3)</f>
        <v>0.0186856371872684</v>
      </c>
      <c r="G48" s="10" t="n">
        <f aca="false">STDEV(G44:G46)</f>
        <v>545.533072630187</v>
      </c>
      <c r="H48" s="10" t="n">
        <f aca="false">STDEV((H44-I$3)/I$3,(H45-I$3)/I$3,(H46-I$3)/I$3)</f>
        <v>3.04084654533596</v>
      </c>
      <c r="I48" s="10" t="n">
        <f aca="false">STDEV(I44:I46)</f>
        <v>9.01849950564579</v>
      </c>
      <c r="J48" s="10" t="n">
        <f aca="false">STDEV((J44-K$3)/K$3,(J45-K$3)/K$3,(J46-K$3)/K$3)</f>
        <v>0.574544880719773</v>
      </c>
      <c r="K48" s="10" t="n">
        <f aca="false">STDEV(K44:K46)</f>
        <v>11.2694276695846</v>
      </c>
    </row>
    <row r="51" customFormat="false" ht="24.45" hidden="false" customHeight="false" outlineLevel="0" collapsed="false">
      <c r="A51" s="12" t="s">
        <v>18</v>
      </c>
    </row>
    <row r="54" customFormat="false" ht="15" hidden="false" customHeight="true" outlineLevel="0" collapsed="false">
      <c r="A54" s="13"/>
      <c r="B54" s="14" t="s">
        <v>0</v>
      </c>
      <c r="C54" s="14"/>
      <c r="D54" s="15" t="s">
        <v>1</v>
      </c>
      <c r="E54" s="15"/>
      <c r="F54" s="16" t="s">
        <v>2</v>
      </c>
      <c r="G54" s="16"/>
      <c r="H54" s="15" t="s">
        <v>3</v>
      </c>
      <c r="I54" s="15"/>
      <c r="J54" s="15" t="s">
        <v>4</v>
      </c>
      <c r="K54" s="15"/>
      <c r="L54" s="17" t="s">
        <v>19</v>
      </c>
      <c r="M54" s="17"/>
    </row>
    <row r="55" customFormat="false" ht="15.75" hidden="false" customHeight="true" outlineLevel="0" collapsed="false">
      <c r="A55" s="13"/>
      <c r="B55" s="18" t="s">
        <v>20</v>
      </c>
      <c r="C55" s="19" t="s">
        <v>9</v>
      </c>
      <c r="D55" s="18" t="s">
        <v>20</v>
      </c>
      <c r="E55" s="20" t="s">
        <v>9</v>
      </c>
      <c r="F55" s="18" t="s">
        <v>20</v>
      </c>
      <c r="G55" s="19" t="s">
        <v>9</v>
      </c>
      <c r="H55" s="18" t="s">
        <v>20</v>
      </c>
      <c r="I55" s="20" t="s">
        <v>9</v>
      </c>
      <c r="J55" s="18" t="s">
        <v>20</v>
      </c>
      <c r="K55" s="20" t="s">
        <v>9</v>
      </c>
      <c r="L55" s="21" t="s">
        <v>21</v>
      </c>
      <c r="M55" s="22" t="s">
        <v>9</v>
      </c>
    </row>
    <row r="56" customFormat="false" ht="15.75" hidden="false" customHeight="true" outlineLevel="0" collapsed="false">
      <c r="A56" s="23" t="s">
        <v>5</v>
      </c>
      <c r="B56" s="24" t="n">
        <f aca="false">B8</f>
        <v>93.9937960449787</v>
      </c>
      <c r="C56" s="24" t="n">
        <f aca="false">C8</f>
        <v>19.1461</v>
      </c>
      <c r="D56" s="24" t="n">
        <f aca="false">D8</f>
        <v>0.1810147299509</v>
      </c>
      <c r="E56" s="24" t="n">
        <f aca="false">E8</f>
        <v>3.9</v>
      </c>
      <c r="F56" s="24" t="n">
        <f aca="false">F8</f>
        <v>0.223717449995196</v>
      </c>
      <c r="G56" s="24" t="n">
        <f aca="false">G8</f>
        <v>2295</v>
      </c>
      <c r="H56" s="24" t="n">
        <f aca="false">H8</f>
        <v>0.0960759861284316</v>
      </c>
      <c r="I56" s="24" t="n">
        <f aca="false">I8</f>
        <v>0.17</v>
      </c>
      <c r="J56" s="24" t="n">
        <f aca="false">J8</f>
        <v>0.282796505038064</v>
      </c>
      <c r="K56" s="24" t="n">
        <f aca="false">K8</f>
        <v>3.99</v>
      </c>
      <c r="L56" s="25" t="n">
        <f aca="false">AVERAGE(B56,D56,F56,H56,J56)</f>
        <v>18.9554801432183</v>
      </c>
      <c r="M56" s="25" t="n">
        <f aca="false">AVERAGE(C56,E56,G56,I56,K56)</f>
        <v>464.44122</v>
      </c>
    </row>
    <row r="57" customFormat="false" ht="15.75" hidden="false" customHeight="true" outlineLevel="0" collapsed="false">
      <c r="A57" s="26" t="s">
        <v>13</v>
      </c>
      <c r="B57" s="24" t="n">
        <f aca="false">B20</f>
        <v>2.66201370040067</v>
      </c>
      <c r="C57" s="24" t="n">
        <f aca="false">C20</f>
        <v>5.46666666666667</v>
      </c>
      <c r="D57" s="24" t="n">
        <f aca="false">D20</f>
        <v>2.27539552645936</v>
      </c>
      <c r="E57" s="24" t="n">
        <f aca="false">E20</f>
        <v>1.02333333333333</v>
      </c>
      <c r="F57" s="24" t="n">
        <f aca="false">F20</f>
        <v>2.62973404128916</v>
      </c>
      <c r="G57" s="24" t="n">
        <f aca="false">G20</f>
        <v>1497.02</v>
      </c>
      <c r="H57" s="24" t="n">
        <f aca="false">H20</f>
        <v>14.450774723679</v>
      </c>
      <c r="I57" s="24" t="n">
        <f aca="false">I20</f>
        <v>0.536666666666667</v>
      </c>
      <c r="J57" s="24" t="n">
        <f aca="false">J20</f>
        <v>2.85703915916238</v>
      </c>
      <c r="K57" s="24" t="n">
        <f aca="false">K20</f>
        <v>4.65333333333333</v>
      </c>
      <c r="L57" s="25" t="n">
        <f aca="false">AVERAGE(B57,D57,F57,H57,J57)</f>
        <v>4.97499143019812</v>
      </c>
      <c r="M57" s="25" t="n">
        <f aca="false">AVERAGE(C57,E57,G57,I57,K57)</f>
        <v>301.74</v>
      </c>
    </row>
    <row r="58" customFormat="false" ht="15.75" hidden="false" customHeight="true" outlineLevel="0" collapsed="false">
      <c r="A58" s="27" t="s">
        <v>22</v>
      </c>
      <c r="B58" s="28" t="n">
        <v>0.07</v>
      </c>
      <c r="C58" s="28" t="n">
        <v>2.67</v>
      </c>
      <c r="D58" s="28" t="n">
        <v>0.04</v>
      </c>
      <c r="E58" s="28" t="n">
        <v>6.94</v>
      </c>
      <c r="F58" s="28" t="n">
        <v>0.01</v>
      </c>
      <c r="G58" s="28" t="n">
        <v>0.16</v>
      </c>
      <c r="H58" s="28" t="n">
        <v>0.12</v>
      </c>
      <c r="I58" s="28" t="n">
        <v>1.44</v>
      </c>
      <c r="J58" s="28" t="n">
        <v>0.1</v>
      </c>
      <c r="K58" s="28" t="n">
        <v>0.08</v>
      </c>
      <c r="L58" s="25" t="n">
        <v>0.07</v>
      </c>
      <c r="M58" s="29" t="n">
        <v>2.26</v>
      </c>
    </row>
    <row r="59" customFormat="false" ht="15.75" hidden="false" customHeight="true" outlineLevel="0" collapsed="false">
      <c r="A59" s="27" t="s">
        <v>23</v>
      </c>
      <c r="B59" s="28" t="n">
        <v>0.73</v>
      </c>
      <c r="C59" s="28" t="n">
        <v>116</v>
      </c>
      <c r="D59" s="28" t="n">
        <v>0.16</v>
      </c>
      <c r="E59" s="28" t="n">
        <v>48.67</v>
      </c>
      <c r="F59" s="28" t="n">
        <v>0.02</v>
      </c>
      <c r="G59" s="28" t="n">
        <v>6543.33</v>
      </c>
      <c r="H59" s="28" t="n">
        <v>3.04</v>
      </c>
      <c r="I59" s="28" t="n">
        <v>36.33</v>
      </c>
      <c r="J59" s="28" t="n">
        <v>0.57</v>
      </c>
      <c r="K59" s="28" t="n">
        <v>416</v>
      </c>
      <c r="L59" s="25" t="n">
        <v>0.9</v>
      </c>
      <c r="M59" s="29" t="n">
        <v>1432.07</v>
      </c>
    </row>
    <row r="60" customFormat="false" ht="15.75" hidden="false" customHeight="true" outlineLevel="0" collapsed="false"/>
    <row r="61" customFormat="false" ht="15.75" hidden="false" customHeight="true" outlineLevel="0" collapsed="false">
      <c r="A61" s="12"/>
    </row>
    <row r="62" customFormat="false" ht="15.75" hidden="false" customHeight="true" outlineLevel="0" collapsed="false">
      <c r="A62" s="12"/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</sheetData>
  <mergeCells count="91">
    <mergeCell ref="B1:C1"/>
    <mergeCell ref="D1:E1"/>
    <mergeCell ref="F1:G1"/>
    <mergeCell ref="H1:I1"/>
    <mergeCell ref="J1:K1"/>
    <mergeCell ref="A2:A6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B5:C5"/>
    <mergeCell ref="D5:E5"/>
    <mergeCell ref="F5:G5"/>
    <mergeCell ref="H5:I5"/>
    <mergeCell ref="J5:K5"/>
    <mergeCell ref="B11:C11"/>
    <mergeCell ref="D11:E11"/>
    <mergeCell ref="F11:G11"/>
    <mergeCell ref="H11:I11"/>
    <mergeCell ref="J11:K11"/>
    <mergeCell ref="A12:A16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B15:C15"/>
    <mergeCell ref="D15:E15"/>
    <mergeCell ref="F15:G15"/>
    <mergeCell ref="H15:I15"/>
    <mergeCell ref="J15:K15"/>
    <mergeCell ref="B24:C24"/>
    <mergeCell ref="D24:E24"/>
    <mergeCell ref="F24:G24"/>
    <mergeCell ref="H24:I24"/>
    <mergeCell ref="J24:K24"/>
    <mergeCell ref="A25:A29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B28:C28"/>
    <mergeCell ref="D28:E28"/>
    <mergeCell ref="F28:G28"/>
    <mergeCell ref="H28:I28"/>
    <mergeCell ref="J28:K28"/>
    <mergeCell ref="B38:C38"/>
    <mergeCell ref="D38:E38"/>
    <mergeCell ref="F38:G38"/>
    <mergeCell ref="H38:I38"/>
    <mergeCell ref="J38:K38"/>
    <mergeCell ref="A39:A43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B42:C42"/>
    <mergeCell ref="D42:E42"/>
    <mergeCell ref="F42:G42"/>
    <mergeCell ref="H42:I42"/>
    <mergeCell ref="J42:K42"/>
    <mergeCell ref="A54:A55"/>
    <mergeCell ref="B54:C54"/>
    <mergeCell ref="D54:E54"/>
    <mergeCell ref="F54:G54"/>
    <mergeCell ref="H54:I54"/>
    <mergeCell ref="J54:K54"/>
    <mergeCell ref="L54:M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2013-03-05T10:35:34Z</dcterms:created>
  <dc:creator>ocordon</dc:creator>
  <dc:description/>
  <dc:language>es-ES</dc:language>
  <cp:lastModifiedBy/>
  <dcterms:modified xsi:type="dcterms:W3CDTF">2026-10-23T19:39:48Z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